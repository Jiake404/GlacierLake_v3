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wjk\mystudy\paper3bf\文稿\投稿\code\GlacierLake_v3\Data\"/>
    </mc:Choice>
  </mc:AlternateContent>
  <xr:revisionPtr revIDLastSave="0" documentId="13_ncr:1_{78F4A12F-6F6E-4EBF-AD8B-2110F3486BA7}" xr6:coauthVersionLast="47" xr6:coauthVersionMax="47" xr10:uidLastSave="{00000000-0000-0000-0000-000000000000}"/>
  <bookViews>
    <workbookView xWindow="-16320" yWindow="-4455" windowWidth="16440" windowHeight="28320" xr2:uid="{00000000-000D-0000-FFFF-FFFF00000000}"/>
  </bookViews>
  <sheets>
    <sheet name="2016" sheetId="11" r:id="rId1"/>
    <sheet name="202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4" l="1"/>
  <c r="D11" i="4"/>
  <c r="D10" i="4"/>
  <c r="D9" i="4"/>
  <c r="D8" i="4"/>
  <c r="D7" i="4"/>
  <c r="D6" i="4"/>
  <c r="D5" i="4"/>
  <c r="D4" i="4"/>
  <c r="D3" i="4"/>
  <c r="D2" i="4"/>
  <c r="D6" i="11"/>
  <c r="D5" i="11"/>
  <c r="D4" i="11"/>
  <c r="D3" i="11"/>
</calcChain>
</file>

<file path=xl/sharedStrings.xml><?xml version="1.0" encoding="utf-8"?>
<sst xmlns="http://schemas.openxmlformats.org/spreadsheetml/2006/main" count="8" uniqueCount="5">
  <si>
    <t>time</t>
    <phoneticPr fontId="1" type="noConversion"/>
  </si>
  <si>
    <t>area</t>
    <phoneticPr fontId="1" type="noConversion"/>
  </si>
  <si>
    <t>vols</t>
    <phoneticPr fontId="1" type="noConversion"/>
  </si>
  <si>
    <t>doy</t>
    <phoneticPr fontId="1" type="noConversion"/>
  </si>
  <si>
    <t>DOY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</si>
</sst>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58C3-2F55-4E4B-B85E-79657FC02A62}">
  <dimension ref="A1:K19"/>
  <sheetViews>
    <sheetView tabSelected="1" workbookViewId="0">
      <selection activeCell="D17" sqref="D17"/>
    </sheetView>
  </sheetViews>
  <sheetFormatPr defaultRowHeight="14.4" x14ac:dyDescent="0.25"/>
  <cols>
    <col min="1" max="1" width="13.21875" customWidth="1"/>
    <col min="3" max="3" width="11.55468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>
        <v>20160717</v>
      </c>
      <c r="B2" s="1">
        <v>1857700</v>
      </c>
      <c r="C2" s="1">
        <v>8804478</v>
      </c>
      <c r="D2">
        <v>199</v>
      </c>
    </row>
    <row r="3" spans="1:6" x14ac:dyDescent="0.25">
      <c r="A3" s="1">
        <v>20160720</v>
      </c>
      <c r="B3" s="1">
        <v>2011400</v>
      </c>
      <c r="C3" s="1">
        <v>7982237.5</v>
      </c>
      <c r="D3" s="1">
        <f>31+29+31+30+31+30+20</f>
        <v>202</v>
      </c>
    </row>
    <row r="4" spans="1:6" x14ac:dyDescent="0.25">
      <c r="A4" s="1">
        <v>20160721</v>
      </c>
      <c r="B4" s="1">
        <v>2083300</v>
      </c>
      <c r="C4" s="1">
        <v>8783682</v>
      </c>
      <c r="D4" s="1">
        <f>31+29+31+30+31+30+21</f>
        <v>203</v>
      </c>
    </row>
    <row r="5" spans="1:6" x14ac:dyDescent="0.25">
      <c r="A5" s="1">
        <v>20160722</v>
      </c>
      <c r="B5" s="1">
        <v>2128300</v>
      </c>
      <c r="C5" s="1">
        <v>10327748</v>
      </c>
      <c r="D5" s="1">
        <f>31+29+31+30+31+30+22</f>
        <v>204</v>
      </c>
    </row>
    <row r="6" spans="1:6" x14ac:dyDescent="0.25">
      <c r="A6" s="1">
        <v>20160723</v>
      </c>
      <c r="B6" s="1">
        <v>2191400</v>
      </c>
      <c r="C6" s="1">
        <v>10678691</v>
      </c>
      <c r="D6" s="1">
        <f>31+29+31+30+31+30+23</f>
        <v>205</v>
      </c>
    </row>
    <row r="7" spans="1:6" s="1" customFormat="1" x14ac:dyDescent="0.25">
      <c r="A7" s="1">
        <v>20160724</v>
      </c>
      <c r="B7" s="1">
        <v>2245300</v>
      </c>
      <c r="C7" s="1">
        <v>10973584</v>
      </c>
      <c r="D7" s="1">
        <v>206</v>
      </c>
    </row>
    <row r="8" spans="1:6" s="1" customFormat="1" x14ac:dyDescent="0.25">
      <c r="A8" s="1">
        <v>20160728</v>
      </c>
      <c r="B8" s="1">
        <v>2415900</v>
      </c>
      <c r="C8" s="1">
        <v>12785072</v>
      </c>
      <c r="D8" s="1">
        <v>210</v>
      </c>
    </row>
    <row r="9" spans="1:6" s="1" customFormat="1" x14ac:dyDescent="0.25">
      <c r="A9" s="1">
        <v>20160802</v>
      </c>
      <c r="B9" s="1">
        <v>2502600</v>
      </c>
      <c r="C9" s="1">
        <v>14373404</v>
      </c>
      <c r="D9" s="1">
        <v>215</v>
      </c>
    </row>
    <row r="10" spans="1:6" x14ac:dyDescent="0.25">
      <c r="A10" s="1">
        <v>20160810</v>
      </c>
      <c r="B10" s="1">
        <v>2646700</v>
      </c>
      <c r="C10" s="1">
        <v>16245793</v>
      </c>
      <c r="D10" s="1">
        <v>223</v>
      </c>
      <c r="F10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11" x14ac:dyDescent="0.25">
      <c r="A17" s="1"/>
      <c r="B17" s="1"/>
      <c r="C17" s="1"/>
      <c r="D17" s="1"/>
      <c r="E17" s="1"/>
      <c r="F17" s="1"/>
    </row>
    <row r="18" spans="1:11" x14ac:dyDescent="0.25">
      <c r="A18" s="1"/>
      <c r="B18" s="1"/>
      <c r="C18" s="1"/>
      <c r="D18" s="1"/>
      <c r="E18" s="1"/>
      <c r="F18" s="1"/>
    </row>
    <row r="19" spans="1:11" x14ac:dyDescent="0.25">
      <c r="B19" s="1"/>
      <c r="C19" s="1"/>
      <c r="D19" s="1"/>
      <c r="E19" s="1"/>
      <c r="F19" s="1"/>
      <c r="I19" s="1"/>
      <c r="J19" s="1"/>
      <c r="K1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CEC16-7E86-423E-8C73-D37A7A7B9BFA}">
  <dimension ref="A1:D12"/>
  <sheetViews>
    <sheetView workbookViewId="0">
      <selection activeCell="C30" sqref="C30"/>
    </sheetView>
  </sheetViews>
  <sheetFormatPr defaultRowHeight="14.4" x14ac:dyDescent="0.25"/>
  <cols>
    <col min="1" max="1" width="10.5546875" bestFit="1" customWidth="1"/>
    <col min="3" max="3" width="10.21875" customWidth="1"/>
    <col min="4" max="4" width="9.109375" customWidth="1"/>
    <col min="5" max="5" width="11.6640625" bestFit="1" customWidth="1"/>
    <col min="15" max="15" width="12.77734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</v>
      </c>
    </row>
    <row r="2" spans="1:4" x14ac:dyDescent="0.25">
      <c r="A2" s="1">
        <v>20210711</v>
      </c>
      <c r="B2" s="1">
        <v>943700</v>
      </c>
      <c r="C2" s="1">
        <v>2503559</v>
      </c>
      <c r="D2" s="1">
        <f>31+28+31+30+31+30+11</f>
        <v>192</v>
      </c>
    </row>
    <row r="3" spans="1:4" x14ac:dyDescent="0.25">
      <c r="A3" s="1">
        <v>20210713</v>
      </c>
      <c r="B3" s="1">
        <v>1002700</v>
      </c>
      <c r="C3" s="1">
        <v>2808434.5</v>
      </c>
      <c r="D3" s="1">
        <f>31+28+31+30+31+30+13</f>
        <v>194</v>
      </c>
    </row>
    <row r="4" spans="1:4" x14ac:dyDescent="0.25">
      <c r="A4" s="1">
        <v>20210715</v>
      </c>
      <c r="B4" s="1">
        <v>1082800</v>
      </c>
      <c r="C4" s="1">
        <v>2995673.25</v>
      </c>
      <c r="D4" s="1">
        <f>31+28+31+30+31+30+15</f>
        <v>196</v>
      </c>
    </row>
    <row r="5" spans="1:4" x14ac:dyDescent="0.25">
      <c r="A5" s="1">
        <v>20210717</v>
      </c>
      <c r="B5" s="1">
        <v>1205100</v>
      </c>
      <c r="C5" s="1">
        <v>3968520</v>
      </c>
      <c r="D5" s="1">
        <f>31+28+31+30+31+30+17</f>
        <v>198</v>
      </c>
    </row>
    <row r="6" spans="1:4" s="1" customFormat="1" x14ac:dyDescent="0.25">
      <c r="A6" s="1">
        <v>20210719</v>
      </c>
      <c r="B6" s="1">
        <v>1261800</v>
      </c>
      <c r="C6" s="1">
        <v>4206608</v>
      </c>
      <c r="D6" s="1">
        <f>31+28+31+30+31+30+19</f>
        <v>200</v>
      </c>
    </row>
    <row r="7" spans="1:4" x14ac:dyDescent="0.25">
      <c r="A7" s="1">
        <v>20210720</v>
      </c>
      <c r="B7" s="1">
        <v>1294200</v>
      </c>
      <c r="C7" s="1">
        <v>4357678</v>
      </c>
      <c r="D7" s="1">
        <f>31+28+31+30+31+30+20</f>
        <v>201</v>
      </c>
    </row>
    <row r="8" spans="1:4" x14ac:dyDescent="0.25">
      <c r="A8" s="1">
        <v>20210725</v>
      </c>
      <c r="B8" s="1">
        <v>1427900</v>
      </c>
      <c r="C8" s="1">
        <v>5293723.5</v>
      </c>
      <c r="D8" s="1">
        <f>31+28+31+30+31+30+25</f>
        <v>206</v>
      </c>
    </row>
    <row r="9" spans="1:4" x14ac:dyDescent="0.25">
      <c r="A9" s="1">
        <v>20210726</v>
      </c>
      <c r="B9" s="1">
        <v>1442900</v>
      </c>
      <c r="C9" s="1">
        <v>5429033</v>
      </c>
      <c r="D9" s="1">
        <f>31+28+31+30+31+30+26</f>
        <v>207</v>
      </c>
    </row>
    <row r="10" spans="1:4" x14ac:dyDescent="0.25">
      <c r="A10" s="1">
        <v>20210729</v>
      </c>
      <c r="B10" s="1">
        <v>1692000</v>
      </c>
      <c r="C10" s="1">
        <v>6657848.5</v>
      </c>
      <c r="D10" s="1">
        <f>31+28+31+30+31+30+29</f>
        <v>210</v>
      </c>
    </row>
    <row r="11" spans="1:4" x14ac:dyDescent="0.25">
      <c r="A11" s="1">
        <v>20210808</v>
      </c>
      <c r="B11" s="1">
        <v>2024200</v>
      </c>
      <c r="C11" s="1">
        <v>10989322</v>
      </c>
      <c r="D11" s="1">
        <f>31+28+31+30+31+30+31+8</f>
        <v>220</v>
      </c>
    </row>
    <row r="12" spans="1:4" x14ac:dyDescent="0.25">
      <c r="A12" s="1">
        <v>20210815</v>
      </c>
      <c r="B12" s="1">
        <v>2071300</v>
      </c>
      <c r="C12" s="1">
        <v>11597168</v>
      </c>
      <c r="D12" s="1">
        <f>31+28+31+30+31+30+31+15</f>
        <v>227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2016</vt:lpstr>
      <vt:lpstr>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Jiake</cp:lastModifiedBy>
  <dcterms:created xsi:type="dcterms:W3CDTF">2025-07-25T09:03:19Z</dcterms:created>
  <dcterms:modified xsi:type="dcterms:W3CDTF">2026-07-20T07:34:29Z</dcterms:modified>
</cp:coreProperties>
</file>